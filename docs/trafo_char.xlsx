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vilacqua\Documents\projects\EPICA\sections\bps\"/>
    </mc:Choice>
  </mc:AlternateContent>
  <xr:revisionPtr revIDLastSave="0" documentId="13_ncr:1_{52915F11-8B26-453B-ACC4-8050287C2A34}" xr6:coauthVersionLast="47" xr6:coauthVersionMax="47" xr10:uidLastSave="{00000000-0000-0000-0000-000000000000}"/>
  <bookViews>
    <workbookView xWindow="-120" yWindow="-120" windowWidth="29040" windowHeight="18240" xr2:uid="{0354A05F-A386-4656-86E1-D34B90FCC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" i="1" l="1"/>
  <c r="K16" i="1"/>
  <c r="J16" i="1"/>
  <c r="I16" i="1"/>
  <c r="K9" i="1"/>
  <c r="L9" i="1"/>
  <c r="J9" i="1"/>
  <c r="I9" i="1"/>
</calcChain>
</file>

<file path=xl/sharedStrings.xml><?xml version="1.0" encoding="utf-8"?>
<sst xmlns="http://schemas.openxmlformats.org/spreadsheetml/2006/main" count="24" uniqueCount="24">
  <si>
    <t>Lp1 [uH]</t>
  </si>
  <si>
    <t>Lp2 [uH]</t>
  </si>
  <si>
    <t>Ls1 [mH]</t>
  </si>
  <si>
    <t>Ls2 [mH]</t>
  </si>
  <si>
    <t>Rp1 [Ohm]</t>
  </si>
  <si>
    <t>Rp2 [Ohm]</t>
  </si>
  <si>
    <t>Rs1 [Ohm]</t>
  </si>
  <si>
    <t>Rs2 [Ohm]</t>
  </si>
  <si>
    <t>Lp1_s1sc [uH]</t>
  </si>
  <si>
    <t>Lp1_s2sc [uH]</t>
  </si>
  <si>
    <t>Lp2_s1sc [uH]</t>
  </si>
  <si>
    <t>Lp2_s2sc [uH]</t>
  </si>
  <si>
    <t>k_p1_s1</t>
  </si>
  <si>
    <t>k_p1_s2</t>
  </si>
  <si>
    <t>k_p2_s1</t>
  </si>
  <si>
    <t>k_p2_s2</t>
  </si>
  <si>
    <t>Ls1_p1sc [uH]</t>
  </si>
  <si>
    <t>Ls1_p2sc [uH]</t>
  </si>
  <si>
    <t>Ls2_p1sc [uH]</t>
  </si>
  <si>
    <t>Ls2_p2sc [uH]</t>
  </si>
  <si>
    <t>k_s1_p1</t>
  </si>
  <si>
    <t>k_s1_p2</t>
  </si>
  <si>
    <t>k_s2_p1</t>
  </si>
  <si>
    <t>k_s2_p2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</si>
</sst>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A7A2-2FDF-4405-8C74-0A7F09ECF435}">
  <dimension ref="C5:L16"/>
  <sheetViews>
    <sheetView tabSelected="1" topLeftCell="A2" workbookViewId="0">
      <selection activeCell="F15" sqref="F15"/>
    </sheetView>
  </sheetViews>
  <sheetFormatPr defaultRowHeight="15" x14ac:dyDescent="0.25"/>
  <cols>
    <col min="5" max="5" width="10.42578125" bestFit="1" customWidth="1"/>
    <col min="9" max="12" width="12.85546875" bestFit="1" customWidth="1"/>
  </cols>
  <sheetData>
    <row r="5" spans="3:12" x14ac:dyDescent="0.25">
      <c r="C5" s="1" t="s">
        <v>0</v>
      </c>
      <c r="D5" s="2">
        <v>87.19</v>
      </c>
      <c r="E5" s="1" t="s">
        <v>4</v>
      </c>
      <c r="F5" s="2">
        <v>0.60499999999999998</v>
      </c>
      <c r="I5" s="1" t="s">
        <v>8</v>
      </c>
      <c r="J5" s="1" t="s">
        <v>9</v>
      </c>
      <c r="K5" s="1" t="s">
        <v>10</v>
      </c>
      <c r="L5" s="1" t="s">
        <v>11</v>
      </c>
    </row>
    <row r="6" spans="3:12" x14ac:dyDescent="0.25">
      <c r="C6" s="1" t="s">
        <v>1</v>
      </c>
      <c r="D6" s="2">
        <v>87.27</v>
      </c>
      <c r="E6" s="1" t="s">
        <v>5</v>
      </c>
      <c r="F6" s="2">
        <v>0.60699999999999998</v>
      </c>
      <c r="I6" s="2">
        <v>0.25829999999999997</v>
      </c>
      <c r="J6" s="2">
        <v>0.251</v>
      </c>
      <c r="K6" s="2">
        <v>0.30590000000000001</v>
      </c>
      <c r="L6" s="2">
        <v>0.2072</v>
      </c>
    </row>
    <row r="8" spans="3:12" x14ac:dyDescent="0.25">
      <c r="C8" s="1" t="s">
        <v>2</v>
      </c>
      <c r="D8" s="2">
        <v>6.88</v>
      </c>
      <c r="E8" s="1" t="s">
        <v>6</v>
      </c>
      <c r="F8" s="2">
        <v>28.4</v>
      </c>
      <c r="I8" s="1" t="s">
        <v>12</v>
      </c>
      <c r="J8" s="1" t="s">
        <v>13</v>
      </c>
      <c r="K8" s="1" t="s">
        <v>14</v>
      </c>
      <c r="L8" s="1" t="s">
        <v>15</v>
      </c>
    </row>
    <row r="9" spans="3:12" x14ac:dyDescent="0.25">
      <c r="C9" s="1" t="s">
        <v>3</v>
      </c>
      <c r="D9" s="2">
        <v>6.87</v>
      </c>
      <c r="E9" s="1" t="s">
        <v>7</v>
      </c>
      <c r="F9" s="2">
        <v>28.4</v>
      </c>
      <c r="I9" s="2">
        <f>SQRT(1-(I6/D5))</f>
        <v>0.99851765347486565</v>
      </c>
      <c r="J9" s="2">
        <f>SQRT(1-(J6/D5))</f>
        <v>0.99855957734067913</v>
      </c>
      <c r="K9" s="2">
        <f>SQRT(1-(K6/D6))</f>
        <v>0.99824585463472126</v>
      </c>
      <c r="L9" s="2">
        <f>SQRT(1-(L6/D6))</f>
        <v>0.9988121741039736</v>
      </c>
    </row>
    <row r="12" spans="3:12" x14ac:dyDescent="0.25">
      <c r="I12" s="1" t="s">
        <v>16</v>
      </c>
      <c r="J12" s="1" t="s">
        <v>17</v>
      </c>
      <c r="K12" s="1" t="s">
        <v>18</v>
      </c>
      <c r="L12" s="1" t="s">
        <v>19</v>
      </c>
    </row>
    <row r="13" spans="3:12" x14ac:dyDescent="0.25">
      <c r="I13" s="2">
        <v>20.395</v>
      </c>
      <c r="J13" s="2">
        <v>23.707999999999998</v>
      </c>
      <c r="K13" s="2">
        <v>19.736999999999998</v>
      </c>
      <c r="L13" s="2">
        <v>16.280999999999999</v>
      </c>
    </row>
    <row r="15" spans="3:12" x14ac:dyDescent="0.25">
      <c r="I15" s="1" t="s">
        <v>20</v>
      </c>
      <c r="J15" s="1" t="s">
        <v>21</v>
      </c>
      <c r="K15" s="1" t="s">
        <v>22</v>
      </c>
      <c r="L15" s="1" t="s">
        <v>23</v>
      </c>
    </row>
    <row r="16" spans="3:12" x14ac:dyDescent="0.25">
      <c r="I16" s="2">
        <f>SQRT(1-(I13/D8/1000))</f>
        <v>0.99851670515075319</v>
      </c>
      <c r="J16" s="2">
        <f>SQRT(1-(J13/D8/1000))</f>
        <v>0.99827554801639906</v>
      </c>
      <c r="K16" s="2">
        <f>SQRT(1-(K13/D9/1000))</f>
        <v>0.99856250392041446</v>
      </c>
      <c r="L16" s="2">
        <f>SQRT(1-(L13/D9/1000))</f>
        <v>0.99881436263420187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Bevilacqua Mattia</dc:creator>
  <cp:lastModifiedBy>Bevilacqua Mattia</cp:lastModifiedBy>
  <dcterms:created xsi:type="dcterms:W3CDTF">2025-10-27T14:56:17Z</dcterms:created>
  <dcterms:modified xsi:type="dcterms:W3CDTF">2025-10-28T16:17:53Z</dcterms:modified>
</cp:coreProperties>
</file>